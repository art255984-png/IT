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0616" windowHeight="12264" activeTab="2"/>
  </bookViews>
  <sheets>
    <sheet name="Математика" sheetId="1" r:id="rId1"/>
    <sheet name="Финансы" sheetId="2" r:id="rId2"/>
    <sheet name="Расчет кредита" sheetId="3" r:id="rId3"/>
  </sheets>
  <calcPr calcId="162913"/>
</workbook>
</file>

<file path=xl/calcChain.xml><?xml version="1.0" encoding="utf-8"?>
<calcChain xmlns="http://schemas.openxmlformats.org/spreadsheetml/2006/main">
  <c r="A5" i="3" l="1"/>
  <c r="A6" i="3" s="1"/>
  <c r="A7" i="3" s="1"/>
  <c r="T7" i="2"/>
  <c r="T6" i="2"/>
  <c r="T5" i="2"/>
  <c r="T4" i="2"/>
  <c r="AA18" i="1"/>
  <c r="AA17" i="1"/>
  <c r="AA16" i="1"/>
  <c r="AA15" i="1"/>
  <c r="AA14" i="1"/>
  <c r="AA13" i="1"/>
  <c r="AA12" i="1"/>
  <c r="Z10" i="1"/>
  <c r="Z8" i="1"/>
  <c r="X8" i="1"/>
  <c r="I8" i="1"/>
  <c r="G8" i="1"/>
  <c r="H8" i="1" s="1"/>
  <c r="F8" i="1"/>
  <c r="Z7" i="1"/>
  <c r="X7" i="1"/>
  <c r="I7" i="1"/>
  <c r="G7" i="1"/>
  <c r="H7" i="1" s="1"/>
  <c r="F7" i="1"/>
  <c r="Z6" i="1"/>
  <c r="X6" i="1"/>
  <c r="I6" i="1"/>
  <c r="G6" i="1"/>
  <c r="H6" i="1" s="1"/>
  <c r="F6" i="1"/>
  <c r="Z5" i="1"/>
  <c r="X5" i="1"/>
  <c r="I5" i="1"/>
  <c r="G5" i="1"/>
  <c r="H5" i="1" s="1"/>
  <c r="F5" i="1"/>
  <c r="Z4" i="1"/>
  <c r="X4" i="1"/>
  <c r="I4" i="1"/>
  <c r="G4" i="1"/>
  <c r="H4" i="1" s="1"/>
  <c r="F4" i="1"/>
  <c r="Z3" i="1"/>
  <c r="X3" i="1"/>
  <c r="I3" i="1"/>
  <c r="G3" i="1"/>
  <c r="H3" i="1" s="1"/>
  <c r="F3" i="1"/>
  <c r="Z2" i="1"/>
  <c r="X2" i="1"/>
  <c r="I2" i="1"/>
  <c r="G2" i="1"/>
  <c r="H2" i="1" s="1"/>
  <c r="F2" i="1"/>
</calcChain>
</file>

<file path=xl/sharedStrings.xml><?xml version="1.0" encoding="utf-8"?>
<sst xmlns="http://schemas.openxmlformats.org/spreadsheetml/2006/main" count="33" uniqueCount="33">
  <si>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</si>
  <si>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</si>
  <si>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</si>
  <si>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</si>
  <si>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</si>
  <si>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</si>
  <si>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</si>
  <si>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</si>
  <si>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Модуль отклонения</t>
  </si>
  <si>
    <t>Норма массы:</t>
  </si>
  <si>
    <t>Длина дуги</t>
  </si>
  <si>
    <t>Дуга через РАДИАНЫ</t>
  </si>
  <si>
    <t>Обратное преобр. (Z10):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</si>
  <si>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</si>
  <si>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</si>
  <si>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</si>
  <si>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</si>
  <si>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</si>
  <si>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</si>
  <si>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</si>
  <si>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Начальная сумма (T1):</t>
  </si>
  <si>
    <t>Ставка годовая (T2):</t>
  </si>
  <si>
    <t>Срок, лет (T3):</t>
  </si>
  <si>
    <t>Сложный процент (T4):</t>
  </si>
  <si>
    <t>Непрерывный проц. (T5):</t>
  </si>
  <si>
    <t>Правило 72 (T6):</t>
  </si>
  <si>
    <t>Точное удвоение (T7):</t>
  </si>
  <si>
    <t>Сумма кредита</t>
  </si>
  <si>
    <t>Годовая ставка</t>
  </si>
  <si>
    <t>Срок (лет)</t>
  </si>
  <si>
    <t>Ежемесячный платеж:</t>
  </si>
  <si>
    <t>Общая сумма выплат:</t>
  </si>
  <si>
    <t>Переплата по кредиту: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</si>
</sst>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workbookViewId="0">
      <selection activeCell="J5" sqref="J5"/>
    </sheetView>
  </sheetViews>
  <sheetFormatPr defaultRowHeight="14.4" x14ac:dyDescent="0.3"/>
  <cols>
    <col min="1" max="1" width="12" customWidth="1"/>
    <col min="2" max="3" width="16" customWidth="1"/>
    <col min="4" max="6" width="15" customWidth="1"/>
    <col min="7" max="7" width="23" customWidth="1"/>
    <col min="8" max="8" width="19" customWidth="1"/>
    <col min="9" max="9" width="20" customWidth="1"/>
    <col min="10" max="10" width="15" customWidth="1"/>
    <col min="11" max="23" width="12" customWidth="1"/>
    <col min="24" max="24" width="20" customWidth="1"/>
    <col min="25" max="25" width="26" customWidth="1"/>
    <col min="26" max="26" width="28" customWidth="1"/>
    <col min="27" max="27" width="38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>
        <v>3</v>
      </c>
      <c r="X1" t="s">
        <v>10</v>
      </c>
      <c r="Y1">
        <v>60</v>
      </c>
      <c r="Z1" t="s">
        <v>11</v>
      </c>
    </row>
    <row r="2" spans="1:27" x14ac:dyDescent="0.3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X2">
        <f t="shared" ref="X2:X8" si="4">PI()*B2*$Y$1/180</f>
        <v>13.089969389957471</v>
      </c>
      <c r="Z2">
        <f t="shared" ref="Z2:Z8" si="5">B2*RADIANS($Y$1)</f>
        <v>13.089969389957471</v>
      </c>
    </row>
    <row r="3" spans="1:27" x14ac:dyDescent="0.3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X3">
        <f t="shared" si="4"/>
        <v>8.6917396749317621</v>
      </c>
      <c r="Z3">
        <f t="shared" si="5"/>
        <v>8.6917396749317604</v>
      </c>
    </row>
    <row r="4" spans="1:27" x14ac:dyDescent="0.3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X4">
        <f t="shared" si="4"/>
        <v>16.441001553786581</v>
      </c>
      <c r="Z4">
        <f t="shared" si="5"/>
        <v>16.441001553786581</v>
      </c>
    </row>
    <row r="5" spans="1:27" x14ac:dyDescent="0.3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X5">
        <f t="shared" si="4"/>
        <v>6.4926248174189052</v>
      </c>
      <c r="Z5">
        <f t="shared" si="5"/>
        <v>6.4926248174189052</v>
      </c>
    </row>
    <row r="6" spans="1:27" x14ac:dyDescent="0.3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X6">
        <f t="shared" si="4"/>
        <v>21.048670779051616</v>
      </c>
      <c r="Z6">
        <f t="shared" si="5"/>
        <v>21.048670779051612</v>
      </c>
    </row>
    <row r="7" spans="1:27" x14ac:dyDescent="0.3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X7">
        <f t="shared" si="4"/>
        <v>10.890854532444616</v>
      </c>
      <c r="Z7">
        <f t="shared" si="5"/>
        <v>10.890854532444616</v>
      </c>
    </row>
    <row r="8" spans="1:27" x14ac:dyDescent="0.3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10" spans="1:27" x14ac:dyDescent="0.3">
      <c r="Y10" t="s">
        <v>12</v>
      </c>
      <c r="Z10">
        <f>DEGREES(PI()/3)</f>
        <v>59.999999999999993</v>
      </c>
    </row>
    <row r="12" spans="1:27" x14ac:dyDescent="0.3">
      <c r="Z12" t="s">
        <v>13</v>
      </c>
      <c r="AA12">
        <f>SUM(D2:D8)</f>
        <v>21.799999999999997</v>
      </c>
    </row>
    <row r="13" spans="1:27" x14ac:dyDescent="0.3">
      <c r="Z13" t="s">
        <v>14</v>
      </c>
      <c r="AA13">
        <f>SUMIF(D2:D8, "&gt;2")</f>
        <v>18.100000000000001</v>
      </c>
    </row>
    <row r="14" spans="1:27" x14ac:dyDescent="0.3">
      <c r="Z14" t="s">
        <v>15</v>
      </c>
      <c r="AA14">
        <f>SUMPRODUCT(D2:D8,E2:E8)/SUM(E2:E8)</f>
        <v>4.0744612928970474</v>
      </c>
    </row>
    <row r="15" spans="1:27" x14ac:dyDescent="0.3">
      <c r="Z15" t="s">
        <v>16</v>
      </c>
      <c r="AA15">
        <f>COUNTIF(D2:D8, "&gt;2")</f>
        <v>4</v>
      </c>
    </row>
    <row r="16" spans="1:27" x14ac:dyDescent="0.3">
      <c r="Z16" t="s">
        <v>17</v>
      </c>
      <c r="AA16">
        <f>AVERAGE(D2:D8)</f>
        <v>3.1142857142857139</v>
      </c>
    </row>
    <row r="17" spans="26:27" x14ac:dyDescent="0.3">
      <c r="Z17" t="s">
        <v>18</v>
      </c>
      <c r="AA17">
        <f>MAX(D2:D8)</f>
        <v>6.5</v>
      </c>
    </row>
    <row r="18" spans="26:27" x14ac:dyDescent="0.3">
      <c r="Z18" t="s">
        <v>19</v>
      </c>
      <c r="AA18">
        <f>MIN(D2:D8)</f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1:T7"/>
  <sheetViews>
    <sheetView topLeftCell="H4" workbookViewId="0">
      <selection activeCell="T4" sqref="T4"/>
    </sheetView>
  </sheetViews>
  <sheetFormatPr defaultRowHeight="14.4" x14ac:dyDescent="0.3"/>
  <cols>
    <col min="1" max="18" width="12" customWidth="1"/>
    <col min="19" max="19" width="26" customWidth="1"/>
    <col min="20" max="20" width="21" customWidth="1"/>
  </cols>
  <sheetData>
    <row r="1" spans="19:20" x14ac:dyDescent="0.3">
      <c r="S1" t="s">
        <v>20</v>
      </c>
      <c r="T1">
        <v>100000</v>
      </c>
    </row>
    <row r="2" spans="19:20" x14ac:dyDescent="0.3">
      <c r="S2" t="s">
        <v>21</v>
      </c>
      <c r="T2" s="4">
        <v>0.12</v>
      </c>
    </row>
    <row r="3" spans="19:20" x14ac:dyDescent="0.3">
      <c r="S3" t="s">
        <v>22</v>
      </c>
      <c r="T3">
        <v>5</v>
      </c>
    </row>
    <row r="4" spans="19:20" x14ac:dyDescent="0.3">
      <c r="S4" t="s">
        <v>23</v>
      </c>
      <c r="T4" s="5">
        <f>T1*POWER(1+T2,T3)</f>
        <v>176234.16832000006</v>
      </c>
    </row>
    <row r="5" spans="19:20" x14ac:dyDescent="0.3">
      <c r="S5" t="s">
        <v>24</v>
      </c>
      <c r="T5" s="5">
        <f>T1*EXP(T2*T3)</f>
        <v>182211.88003905088</v>
      </c>
    </row>
    <row r="6" spans="19:20" x14ac:dyDescent="0.3">
      <c r="S6" t="s">
        <v>25</v>
      </c>
      <c r="T6">
        <f>72/(T2*100)</f>
        <v>6</v>
      </c>
    </row>
    <row r="7" spans="19:20" x14ac:dyDescent="0.3">
      <c r="S7" t="s">
        <v>26</v>
      </c>
      <c r="T7">
        <f>LN(2)/LN(1+T2)</f>
        <v>6.1162553741996994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4" x14ac:dyDescent="0.3"/>
  <cols>
    <col min="1" max="1" width="26" customWidth="1"/>
    <col min="2" max="2" width="24" customWidth="1"/>
  </cols>
  <sheetData>
    <row r="1" spans="1:2" x14ac:dyDescent="0.3">
      <c r="A1">
        <v>500000</v>
      </c>
      <c r="B1" t="s">
        <v>27</v>
      </c>
    </row>
    <row r="2" spans="1:2" x14ac:dyDescent="0.3">
      <c r="A2" s="4">
        <v>0.18</v>
      </c>
      <c r="B2" t="s">
        <v>28</v>
      </c>
    </row>
    <row r="3" spans="1:2" x14ac:dyDescent="0.3">
      <c r="A3">
        <v>3</v>
      </c>
      <c r="B3" t="s">
        <v>29</v>
      </c>
    </row>
    <row r="5" spans="1:2" x14ac:dyDescent="0.3">
      <c r="A5" s="5">
        <f>PMT(A2/12, A3*12, -A1)</f>
        <v>18076.197767958416</v>
      </c>
      <c r="B5" t="s">
        <v>30</v>
      </c>
    </row>
    <row r="6" spans="1:2" x14ac:dyDescent="0.3">
      <c r="A6" s="5">
        <f>A5*A3*12</f>
        <v>650743.11964650301</v>
      </c>
      <c r="B6" t="s">
        <v>31</v>
      </c>
    </row>
    <row r="7" spans="1:2" x14ac:dyDescent="0.3">
      <c r="A7" s="5">
        <f>A6-A1</f>
        <v>150743.11964650301</v>
      </c>
      <c r="B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Математика</vt:lpstr>
      <vt:lpstr>Финансы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2026-09-24T11:35:07Z</dcterms:created>
  <dcterms:modified xsi:type="dcterms:W3CDTF">2026-09-24T11:48:36Z</dcterms:modified>
</cp:coreProperties>
</file>